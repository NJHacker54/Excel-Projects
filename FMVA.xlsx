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d61325e52433ad/Desktop/"/>
    </mc:Choice>
  </mc:AlternateContent>
  <xr:revisionPtr revIDLastSave="2" documentId="8_{0C36395D-7D2D-4198-BA28-D8EE8664F3A5}" xr6:coauthVersionLast="47" xr6:coauthVersionMax="47" xr10:uidLastSave="{A3834F59-651F-43D8-8214-CE16B2526F08}"/>
  <bookViews>
    <workbookView xWindow="-98" yWindow="-98" windowWidth="21795" windowHeight="11625" xr2:uid="{A15B3E54-5303-40F9-BC6D-2117513E6F82}"/>
  </bookViews>
  <sheets>
    <sheet name="Sheet1" sheetId="1" r:id="rId1"/>
  </sheets>
  <definedNames>
    <definedName name="solver_adj" localSheetId="0" hidden="1">Sheet1!$G$53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Sheet1!$G$64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E15" i="1" s="1"/>
  <c r="E24" i="1" s="1"/>
  <c r="F11" i="1"/>
  <c r="F15" i="1" s="1"/>
  <c r="F24" i="1" s="1"/>
  <c r="D15" i="1"/>
  <c r="D18" i="1"/>
  <c r="E18" i="1"/>
  <c r="F18" i="1"/>
  <c r="E21" i="1"/>
  <c r="F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G24" i="1" s="1"/>
  <c r="H24" i="1" s="1"/>
  <c r="I24" i="1" s="1"/>
  <c r="F25" i="1"/>
  <c r="D38" i="1"/>
  <c r="E38" i="1"/>
  <c r="F38" i="1"/>
  <c r="D42" i="1"/>
  <c r="D44" i="1" s="1"/>
  <c r="D63" i="1" s="1"/>
  <c r="E42" i="1"/>
  <c r="E44" i="1" s="1"/>
  <c r="E63" i="1" s="1"/>
  <c r="E64" i="1" s="1"/>
  <c r="F42" i="1"/>
  <c r="F44" i="1" s="1"/>
  <c r="F63" i="1" s="1"/>
  <c r="F64" i="1" s="1"/>
  <c r="D49" i="1"/>
  <c r="E49" i="1"/>
  <c r="F49" i="1"/>
  <c r="G52" i="1"/>
  <c r="G96" i="1" s="1"/>
  <c r="G103" i="1" s="1"/>
  <c r="H52" i="1"/>
  <c r="I52" i="1"/>
  <c r="H53" i="1"/>
  <c r="H98" i="1" s="1"/>
  <c r="I53" i="1"/>
  <c r="I98" i="1" s="1"/>
  <c r="D54" i="1"/>
  <c r="E54" i="1"/>
  <c r="F54" i="1"/>
  <c r="F62" i="1" s="1"/>
  <c r="G57" i="1"/>
  <c r="H57" i="1"/>
  <c r="I57" i="1"/>
  <c r="G58" i="1"/>
  <c r="H58" i="1"/>
  <c r="I58" i="1"/>
  <c r="D60" i="1"/>
  <c r="D62" i="1" s="1"/>
  <c r="E60" i="1"/>
  <c r="F60" i="1"/>
  <c r="E62" i="1"/>
  <c r="G67" i="1"/>
  <c r="G69" i="1"/>
  <c r="G56" i="1" s="1"/>
  <c r="G71" i="1"/>
  <c r="G73" i="1" s="1"/>
  <c r="H71" i="1"/>
  <c r="H73" i="1" s="1"/>
  <c r="I71" i="1"/>
  <c r="I73" i="1" s="1"/>
  <c r="G75" i="1"/>
  <c r="G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D64" i="1" l="1"/>
  <c r="I96" i="1"/>
  <c r="I103" i="1" s="1"/>
  <c r="H67" i="1"/>
  <c r="H69" i="1" s="1"/>
  <c r="H96" i="1"/>
  <c r="H103" i="1" s="1"/>
  <c r="G21" i="1"/>
  <c r="H56" i="1" l="1"/>
  <c r="I67" i="1"/>
  <c r="I69" i="1" s="1"/>
  <c r="I56" i="1" s="1"/>
  <c r="G8" i="1"/>
  <c r="H21" i="1"/>
  <c r="G30" i="1"/>
  <c r="G37" i="1"/>
  <c r="G26" i="1"/>
  <c r="G47" i="1"/>
  <c r="G27" i="1"/>
  <c r="G48" i="1"/>
  <c r="G29" i="1"/>
  <c r="H29" i="1" s="1"/>
  <c r="G35" i="1"/>
  <c r="G84" i="1" l="1"/>
  <c r="H35" i="1"/>
  <c r="G88" i="1"/>
  <c r="H8" i="1"/>
  <c r="I21" i="1"/>
  <c r="I8" i="1" s="1"/>
  <c r="I29" i="1"/>
  <c r="G89" i="1"/>
  <c r="G92" i="1"/>
  <c r="G40" i="1"/>
  <c r="H27" i="1"/>
  <c r="H26" i="1"/>
  <c r="G83" i="1"/>
  <c r="H37" i="1"/>
  <c r="G86" i="1"/>
  <c r="H86" i="1"/>
  <c r="H30" i="1"/>
  <c r="G41" i="1"/>
  <c r="H41" i="1" s="1"/>
  <c r="G9" i="1"/>
  <c r="G25" i="1" s="1"/>
  <c r="G10" i="1"/>
  <c r="H83" i="1" l="1"/>
  <c r="I26" i="1"/>
  <c r="I83" i="1" s="1"/>
  <c r="I27" i="1"/>
  <c r="I92" i="1" s="1"/>
  <c r="H92" i="1"/>
  <c r="G42" i="1"/>
  <c r="H40" i="1"/>
  <c r="G46" i="1"/>
  <c r="G36" i="1"/>
  <c r="G11" i="1"/>
  <c r="G15" i="1" s="1"/>
  <c r="I10" i="1"/>
  <c r="I9" i="1"/>
  <c r="I25" i="1" s="1"/>
  <c r="I41" i="1"/>
  <c r="H10" i="1"/>
  <c r="H11" i="1" s="1"/>
  <c r="H15" i="1" s="1"/>
  <c r="H9" i="1"/>
  <c r="H25" i="1" s="1"/>
  <c r="I30" i="1"/>
  <c r="G93" i="1" s="1" a="1"/>
  <c r="G93" i="1" s="1"/>
  <c r="G94" i="1" s="1"/>
  <c r="I35" i="1"/>
  <c r="I84" i="1" s="1"/>
  <c r="H84" i="1"/>
  <c r="I37" i="1"/>
  <c r="I86" i="1"/>
  <c r="H17" i="1" l="1"/>
  <c r="H18" i="1"/>
  <c r="I11" i="1"/>
  <c r="I15" i="1" s="1"/>
  <c r="G17" i="1"/>
  <c r="G18" i="1"/>
  <c r="G85" i="1"/>
  <c r="H36" i="1"/>
  <c r="G49" i="1"/>
  <c r="G54" i="1" s="1"/>
  <c r="H46" i="1"/>
  <c r="G87" i="1"/>
  <c r="H42" i="1"/>
  <c r="I40" i="1"/>
  <c r="I42" i="1" s="1"/>
  <c r="H94" i="1"/>
  <c r="I94" i="1"/>
  <c r="H48" i="1"/>
  <c r="H47" i="1"/>
  <c r="H87" i="1" l="1"/>
  <c r="H49" i="1"/>
  <c r="H54" i="1" s="1"/>
  <c r="I46" i="1"/>
  <c r="I36" i="1"/>
  <c r="I85" i="1" s="1"/>
  <c r="H76" i="1"/>
  <c r="H82" i="1"/>
  <c r="H88" i="1"/>
  <c r="I47" i="1"/>
  <c r="I88" i="1" s="1"/>
  <c r="I48" i="1"/>
  <c r="I89" i="1" s="1"/>
  <c r="H89" i="1"/>
  <c r="H85" i="1"/>
  <c r="G76" i="1"/>
  <c r="G78" i="1" s="1"/>
  <c r="G82" i="1"/>
  <c r="G90" i="1" s="1"/>
  <c r="G105" i="1" s="1"/>
  <c r="G34" i="1" s="1"/>
  <c r="I17" i="1"/>
  <c r="I18" i="1"/>
  <c r="I82" i="1" l="1"/>
  <c r="I76" i="1"/>
  <c r="H75" i="1"/>
  <c r="H78" i="1" s="1"/>
  <c r="G59" i="1"/>
  <c r="G60" i="1" s="1"/>
  <c r="G62" i="1" s="1"/>
  <c r="H90" i="1"/>
  <c r="H105" i="1" s="1"/>
  <c r="I87" i="1"/>
  <c r="I49" i="1"/>
  <c r="I54" i="1" s="1"/>
  <c r="G38" i="1"/>
  <c r="G44" i="1" s="1"/>
  <c r="G63" i="1" s="1"/>
  <c r="G64" i="1" s="1"/>
  <c r="H34" i="1"/>
  <c r="H38" i="1" l="1"/>
  <c r="H44" i="1" s="1"/>
  <c r="H63" i="1" s="1"/>
  <c r="I75" i="1"/>
  <c r="I78" i="1" s="1"/>
  <c r="I59" i="1" s="1"/>
  <c r="I60" i="1" s="1"/>
  <c r="I62" i="1" s="1"/>
  <c r="H59" i="1"/>
  <c r="H60" i="1" s="1"/>
  <c r="H62" i="1" s="1"/>
  <c r="I90" i="1"/>
  <c r="I105" i="1" s="1"/>
  <c r="I34" i="1" s="1"/>
  <c r="I38" i="1" s="1"/>
  <c r="I44" i="1" s="1"/>
  <c r="I63" i="1" s="1"/>
  <c r="I64" i="1" s="1"/>
  <c r="H6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<sst xmlns="http://schemas.openxmlformats.org/spreadsheetml/2006/main" count="85" uniqueCount="74">
  <si>
    <t>Actuals</t>
  </si>
  <si>
    <t>Projections</t>
  </si>
  <si>
    <t>Income Statement</t>
  </si>
  <si>
    <t>Revenue</t>
  </si>
  <si>
    <t>COGS</t>
  </si>
  <si>
    <t>Operating Expense</t>
  </si>
  <si>
    <t>Operating Profit</t>
  </si>
  <si>
    <t>Interest Income</t>
  </si>
  <si>
    <t>Interest Expense</t>
  </si>
  <si>
    <t>Pretax Profit</t>
  </si>
  <si>
    <t>Tax Expense</t>
  </si>
  <si>
    <t>Net Income</t>
  </si>
  <si>
    <t>Margins/Growth Rates</t>
  </si>
  <si>
    <t>Revenue growth Rate</t>
  </si>
  <si>
    <t>Operating Expenses as % of Revenue</t>
  </si>
  <si>
    <t>Gross Profit Margin</t>
  </si>
  <si>
    <t>Tax Rate</t>
  </si>
  <si>
    <t>Balance Sheet</t>
  </si>
  <si>
    <t>Cash and Equivalents</t>
  </si>
  <si>
    <t>Accounts Recieveable</t>
  </si>
  <si>
    <t>Inventory</t>
  </si>
  <si>
    <t>Prepaid Expenses and other WC</t>
  </si>
  <si>
    <t>Current Assets</t>
  </si>
  <si>
    <t>PPE</t>
  </si>
  <si>
    <t>Intangible Assets</t>
  </si>
  <si>
    <t>Non Current Assets</t>
  </si>
  <si>
    <t>Total Assets</t>
  </si>
  <si>
    <t>Memo: COGS growth Rate</t>
  </si>
  <si>
    <t xml:space="preserve">Memo: Depreciation in COGS </t>
  </si>
  <si>
    <t>Memo: Capital Expenditures</t>
  </si>
  <si>
    <t>Memo: Amortization in Opex and COGS</t>
  </si>
  <si>
    <t>Memo: Purchase of Intangibles</t>
  </si>
  <si>
    <t>Accounts Payable</t>
  </si>
  <si>
    <t>Other Current Liabilities</t>
  </si>
  <si>
    <t>Total Current Liabilities</t>
  </si>
  <si>
    <t>Account Expenses and Other</t>
  </si>
  <si>
    <t>Revolver</t>
  </si>
  <si>
    <t>Long Term Debt</t>
  </si>
  <si>
    <t>Other Liabilities</t>
  </si>
  <si>
    <t>Total Liabilities</t>
  </si>
  <si>
    <t>Common Stock and APIC</t>
  </si>
  <si>
    <t>Treasury Stock</t>
  </si>
  <si>
    <t>Other Comprehensive Income</t>
  </si>
  <si>
    <t>Retained Earnings</t>
  </si>
  <si>
    <t>Total Equity</t>
  </si>
  <si>
    <t>Balance</t>
  </si>
  <si>
    <t>Total Liabilities and Equity</t>
  </si>
  <si>
    <t>Common Stock and APIC - BOP</t>
  </si>
  <si>
    <t xml:space="preserve">New issuance of Common stock </t>
  </si>
  <si>
    <t>Common Stock and APIC - EOP</t>
  </si>
  <si>
    <t>Treasury Stock -  BOP</t>
  </si>
  <si>
    <t>New Repurchases</t>
  </si>
  <si>
    <t>Treasury Stock -  EOP</t>
  </si>
  <si>
    <t>Retained Earnings- BOP</t>
  </si>
  <si>
    <t>Common Dividends</t>
  </si>
  <si>
    <t>Retained Earnings- EOP</t>
  </si>
  <si>
    <t>Schedules</t>
  </si>
  <si>
    <t>Cash Flow Statement</t>
  </si>
  <si>
    <t>Depreciation &amp; Amortization</t>
  </si>
  <si>
    <t>Cash Flow from Operations</t>
  </si>
  <si>
    <t>Net Income(GAAP)</t>
  </si>
  <si>
    <t>Capital Expenditure</t>
  </si>
  <si>
    <t xml:space="preserve">Purchase of Intangible Assets </t>
  </si>
  <si>
    <t>Cash for Investing</t>
  </si>
  <si>
    <t xml:space="preserve">Long Term Debt </t>
  </si>
  <si>
    <t>Repurchases</t>
  </si>
  <si>
    <t>Issuances of Common Stock</t>
  </si>
  <si>
    <t>Dividends</t>
  </si>
  <si>
    <t>Cash from Financing</t>
  </si>
  <si>
    <t>Total Change in Cash</t>
  </si>
  <si>
    <t xml:space="preserve">  </t>
  </si>
  <si>
    <t>in Millions</t>
  </si>
  <si>
    <t>ACTUALS</t>
  </si>
  <si>
    <t>3 STATEMENT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</si>
</sst>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2809]* #,##0.00_-;\-[$$-2809]* #,##0.00_-;_-[$$-2809]* &quot;-&quot;??_-;_-@_-"/>
    <numFmt numFmtId="165" formatCode="#,##0.0;[Red]#,##0.0"/>
    <numFmt numFmtId="166" formatCode="#,##0.00;[Red]#,##0.00"/>
    <numFmt numFmtId="167" formatCode="0.00;[Red]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68"/>
      <color theme="0"/>
      <name val="Times New Roman"/>
      <family val="1"/>
    </font>
    <font>
      <b/>
      <sz val="69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" fontId="0" fillId="0" borderId="0" xfId="0" applyNumberFormat="1"/>
    <xf numFmtId="0" fontId="8" fillId="0" borderId="0" xfId="0" applyFont="1"/>
    <xf numFmtId="166" fontId="8" fillId="0" borderId="0" xfId="0" applyNumberFormat="1" applyFont="1"/>
    <xf numFmtId="166" fontId="2" fillId="0" borderId="0" xfId="0" applyNumberFormat="1" applyFont="1" applyAlignment="1">
      <alignment horizontal="left"/>
    </xf>
    <xf numFmtId="0" fontId="2" fillId="5" borderId="0" xfId="0" applyFont="1" applyFill="1" applyAlignment="1">
      <alignment horizontal="left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9" fontId="1" fillId="0" borderId="2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4" fontId="9" fillId="4" borderId="4" xfId="0" applyNumberFormat="1" applyFont="1" applyFill="1" applyBorder="1" applyAlignment="1">
      <alignment horizontal="center"/>
    </xf>
    <xf numFmtId="164" fontId="9" fillId="4" borderId="12" xfId="0" applyNumberFormat="1" applyFont="1" applyFill="1" applyBorder="1" applyAlignment="1">
      <alignment horizontal="center"/>
    </xf>
    <xf numFmtId="164" fontId="9" fillId="4" borderId="3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6" borderId="0" xfId="0" applyFont="1" applyFill="1" applyAlignment="1">
      <alignment horizontal="left"/>
    </xf>
    <xf numFmtId="166" fontId="9" fillId="6" borderId="2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left"/>
    </xf>
    <xf numFmtId="4" fontId="10" fillId="6" borderId="2" xfId="0" applyNumberFormat="1" applyFont="1" applyFill="1" applyBorder="1" applyAlignment="1">
      <alignment horizontal="center"/>
    </xf>
    <xf numFmtId="166" fontId="10" fillId="6" borderId="2" xfId="0" applyNumberFormat="1" applyFont="1" applyFill="1" applyBorder="1" applyAlignment="1">
      <alignment horizontal="center"/>
    </xf>
    <xf numFmtId="0" fontId="12" fillId="7" borderId="0" xfId="2" applyFont="1" applyFill="1" applyBorder="1" applyAlignment="1">
      <alignment horizontal="center" textRotation="255"/>
    </xf>
    <xf numFmtId="0" fontId="12" fillId="7" borderId="1" xfId="2" applyFont="1" applyFill="1" applyBorder="1" applyAlignment="1">
      <alignment horizontal="center" textRotation="255"/>
    </xf>
    <xf numFmtId="0" fontId="8" fillId="0" borderId="0" xfId="0" applyFont="1" applyAlignment="1">
      <alignment horizontal="center"/>
    </xf>
    <xf numFmtId="0" fontId="11" fillId="8" borderId="8" xfId="3" applyFont="1" applyFill="1" applyBorder="1" applyAlignment="1">
      <alignment horizontal="center" textRotation="90"/>
    </xf>
    <xf numFmtId="0" fontId="11" fillId="8" borderId="9" xfId="3" applyFont="1" applyFill="1" applyBorder="1" applyAlignment="1">
      <alignment horizontal="center" textRotation="90"/>
    </xf>
    <xf numFmtId="0" fontId="11" fillId="8" borderId="7" xfId="3" applyFont="1" applyFill="1" applyBorder="1" applyAlignment="1">
      <alignment horizontal="center" textRotation="90"/>
    </xf>
    <xf numFmtId="0" fontId="11" fillId="8" borderId="10" xfId="3" applyFont="1" applyFill="1" applyBorder="1" applyAlignment="1">
      <alignment horizontal="center" textRotation="90"/>
    </xf>
    <xf numFmtId="0" fontId="11" fillId="8" borderId="0" xfId="3" applyFont="1" applyFill="1" applyBorder="1" applyAlignment="1">
      <alignment horizontal="center" textRotation="90"/>
    </xf>
    <xf numFmtId="0" fontId="11" fillId="8" borderId="11" xfId="3" applyFont="1" applyFill="1" applyBorder="1" applyAlignment="1">
      <alignment horizontal="center" textRotation="90"/>
    </xf>
    <xf numFmtId="0" fontId="11" fillId="8" borderId="6" xfId="3" applyFont="1" applyFill="1" applyBorder="1" applyAlignment="1">
      <alignment horizontal="center" textRotation="90"/>
    </xf>
    <xf numFmtId="0" fontId="11" fillId="8" borderId="13" xfId="3" applyFont="1" applyFill="1" applyBorder="1" applyAlignment="1">
      <alignment horizontal="center" textRotation="90"/>
    </xf>
    <xf numFmtId="0" fontId="11" fillId="8" borderId="5" xfId="3" applyFont="1" applyFill="1" applyBorder="1" applyAlignment="1">
      <alignment horizontal="center" textRotation="90"/>
    </xf>
    <xf numFmtId="166" fontId="1" fillId="9" borderId="2" xfId="0" applyNumberFormat="1" applyFont="1" applyFill="1" applyBorder="1" applyAlignment="1">
      <alignment horizontal="center"/>
    </xf>
  </cellXfs>
  <cellStyles count="4">
    <cellStyle name="60% - Accent1" xfId="3" builtinId="32"/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A247-1BF4-4DA7-8E1E-7CF586EAD96F}">
  <dimension ref="A1:L107"/>
  <sheetViews>
    <sheetView tabSelected="1" topLeftCell="A24" zoomScale="57" zoomScaleNormal="125" workbookViewId="0">
      <selection activeCell="G64" sqref="G64"/>
    </sheetView>
  </sheetViews>
  <sheetFormatPr defaultRowHeight="14.25" x14ac:dyDescent="0.45"/>
  <cols>
    <col min="2" max="2" width="30.59765625" customWidth="1"/>
    <col min="3" max="3" width="38.86328125" style="3" customWidth="1"/>
    <col min="4" max="9" width="9.06640625" style="2"/>
  </cols>
  <sheetData>
    <row r="1" spans="1:9" x14ac:dyDescent="0.45">
      <c r="A1" s="45" t="s">
        <v>71</v>
      </c>
      <c r="B1" s="45"/>
    </row>
    <row r="2" spans="1:9" x14ac:dyDescent="0.45">
      <c r="A2" s="45"/>
      <c r="B2" s="45"/>
    </row>
    <row r="3" spans="1:9" x14ac:dyDescent="0.45">
      <c r="A3" s="45"/>
      <c r="B3" s="45"/>
      <c r="D3" s="30" t="s">
        <v>0</v>
      </c>
      <c r="E3" s="31"/>
      <c r="F3" s="32"/>
      <c r="G3" s="33" t="s">
        <v>1</v>
      </c>
      <c r="H3" s="34"/>
      <c r="I3" s="35"/>
    </row>
    <row r="4" spans="1:9" ht="34.15" customHeight="1" x14ac:dyDescent="0.45">
      <c r="A4" s="43" t="s">
        <v>73</v>
      </c>
      <c r="B4" s="43"/>
      <c r="D4" s="37">
        <v>2021</v>
      </c>
      <c r="E4" s="37">
        <v>2022</v>
      </c>
      <c r="F4" s="37">
        <v>2023</v>
      </c>
      <c r="G4" s="36">
        <v>2024</v>
      </c>
      <c r="H4" s="36">
        <v>2025</v>
      </c>
      <c r="I4" s="36">
        <v>2026</v>
      </c>
    </row>
    <row r="5" spans="1:9" x14ac:dyDescent="0.45">
      <c r="A5" s="43"/>
      <c r="B5" s="43"/>
      <c r="D5" s="11"/>
      <c r="E5" s="11"/>
      <c r="F5" s="11"/>
      <c r="G5" s="11"/>
      <c r="H5" s="11"/>
      <c r="I5" s="11"/>
    </row>
    <row r="6" spans="1:9" x14ac:dyDescent="0.45">
      <c r="A6" s="43"/>
      <c r="B6" s="43"/>
      <c r="C6" s="10" t="s">
        <v>2</v>
      </c>
      <c r="D6" s="11"/>
      <c r="E6" s="11"/>
      <c r="F6" s="11"/>
      <c r="G6" s="11"/>
      <c r="H6" s="11"/>
      <c r="I6" s="11"/>
    </row>
    <row r="7" spans="1:9" x14ac:dyDescent="0.45">
      <c r="A7" s="43"/>
      <c r="B7" s="43"/>
      <c r="D7" s="11"/>
      <c r="E7" s="11"/>
      <c r="F7" s="11"/>
      <c r="G7" s="11"/>
      <c r="H7" s="11"/>
      <c r="I7" s="11"/>
    </row>
    <row r="8" spans="1:9" x14ac:dyDescent="0.45">
      <c r="A8" s="43"/>
      <c r="B8" s="43"/>
      <c r="C8" s="3" t="s">
        <v>3</v>
      </c>
      <c r="D8" s="12">
        <v>1000</v>
      </c>
      <c r="E8" s="12">
        <v>1100</v>
      </c>
      <c r="F8" s="12">
        <v>1200</v>
      </c>
      <c r="G8" s="13">
        <f>(1+G21)*F8</f>
        <v>1314.5454545454545</v>
      </c>
      <c r="H8" s="14">
        <f>(1+H21)*G8</f>
        <v>1440.0247933884298</v>
      </c>
      <c r="I8" s="14">
        <f>(1+I21)*H8</f>
        <v>1577.481705484598</v>
      </c>
    </row>
    <row r="9" spans="1:9" x14ac:dyDescent="0.45">
      <c r="A9" s="43"/>
      <c r="B9" s="43"/>
      <c r="C9" s="3" t="s">
        <v>4</v>
      </c>
      <c r="D9" s="12">
        <v>-600</v>
      </c>
      <c r="E9" s="12">
        <v>-700</v>
      </c>
      <c r="F9" s="12">
        <v>-775</v>
      </c>
      <c r="G9" s="15">
        <f>-(1-G22)*G8</f>
        <v>-824.74449035812688</v>
      </c>
      <c r="H9" s="15">
        <f>-(1-H22)*H8</f>
        <v>-903.47010080140262</v>
      </c>
      <c r="I9" s="15">
        <f>-(1-I22)*I8</f>
        <v>-989.71042860517286</v>
      </c>
    </row>
    <row r="10" spans="1:9" x14ac:dyDescent="0.45">
      <c r="A10" s="43"/>
      <c r="B10" s="43"/>
      <c r="C10" s="3" t="s">
        <v>5</v>
      </c>
      <c r="D10" s="12">
        <v>-150</v>
      </c>
      <c r="E10" s="12">
        <v>-165</v>
      </c>
      <c r="F10" s="12">
        <v>-175</v>
      </c>
      <c r="G10" s="15">
        <f>-G23*G8</f>
        <v>-195.35606060606059</v>
      </c>
      <c r="H10" s="15">
        <f>-H23*H8</f>
        <v>-214.00368457300274</v>
      </c>
      <c r="I10" s="15">
        <f>-I23*I8</f>
        <v>-234.43130900951664</v>
      </c>
    </row>
    <row r="11" spans="1:9" x14ac:dyDescent="0.45">
      <c r="A11" s="43"/>
      <c r="B11" s="43"/>
      <c r="C11" s="4" t="s">
        <v>6</v>
      </c>
      <c r="D11" s="16">
        <f>SUM(D8:D10)</f>
        <v>250</v>
      </c>
      <c r="E11" s="16">
        <f t="shared" ref="E11:F11" si="0">SUM(E8:E10)</f>
        <v>235</v>
      </c>
      <c r="F11" s="16">
        <f t="shared" si="0"/>
        <v>250</v>
      </c>
      <c r="G11" s="16">
        <f t="shared" ref="G11" si="1">SUM(G8:G10)</f>
        <v>294.444903581267</v>
      </c>
      <c r="H11" s="16">
        <f t="shared" ref="H11" si="2">SUM(H8:H10)</f>
        <v>322.55100801402443</v>
      </c>
      <c r="I11" s="16">
        <f t="shared" ref="I11" si="3">SUM(I8:I10)</f>
        <v>353.33996786990849</v>
      </c>
    </row>
    <row r="12" spans="1:9" x14ac:dyDescent="0.45">
      <c r="A12" s="43"/>
      <c r="B12" s="43"/>
      <c r="D12" s="11"/>
      <c r="E12" s="11"/>
      <c r="F12" s="11"/>
      <c r="G12" s="11"/>
      <c r="H12" s="11"/>
      <c r="I12" s="11"/>
    </row>
    <row r="13" spans="1:9" x14ac:dyDescent="0.45">
      <c r="A13" s="43"/>
      <c r="B13" s="43"/>
      <c r="C13" s="3" t="s">
        <v>7</v>
      </c>
      <c r="D13" s="13">
        <v>5</v>
      </c>
      <c r="E13" s="13">
        <v>6</v>
      </c>
      <c r="F13" s="13">
        <v>7</v>
      </c>
      <c r="G13" s="17"/>
      <c r="H13" s="17"/>
      <c r="I13" s="17"/>
    </row>
    <row r="14" spans="1:9" x14ac:dyDescent="0.45">
      <c r="A14" s="43"/>
      <c r="B14" s="43"/>
      <c r="C14" s="3" t="s">
        <v>8</v>
      </c>
      <c r="D14" s="18">
        <v>13</v>
      </c>
      <c r="E14" s="18">
        <v>14</v>
      </c>
      <c r="F14" s="18">
        <v>15</v>
      </c>
      <c r="G14" s="17"/>
      <c r="H14" s="17"/>
      <c r="I14" s="17"/>
    </row>
    <row r="15" spans="1:9" x14ac:dyDescent="0.45">
      <c r="A15" s="43"/>
      <c r="B15" s="43"/>
      <c r="C15" s="4" t="s">
        <v>9</v>
      </c>
      <c r="D15" s="19">
        <f>D11+D13-D14</f>
        <v>242</v>
      </c>
      <c r="E15" s="19">
        <f t="shared" ref="E15:F15" si="4">E11+E13-E14</f>
        <v>227</v>
      </c>
      <c r="F15" s="19">
        <f t="shared" si="4"/>
        <v>242</v>
      </c>
      <c r="G15" s="19">
        <f t="shared" ref="G15" si="5">G11+G13-G14</f>
        <v>294.444903581267</v>
      </c>
      <c r="H15" s="19">
        <f t="shared" ref="H15" si="6">H11+H13-H14</f>
        <v>322.55100801402443</v>
      </c>
      <c r="I15" s="19">
        <f t="shared" ref="I15" si="7">I11+I13-I14</f>
        <v>353.33996786990849</v>
      </c>
    </row>
    <row r="16" spans="1:9" x14ac:dyDescent="0.45">
      <c r="A16" s="43"/>
      <c r="B16" s="43"/>
      <c r="D16" s="11"/>
      <c r="E16" s="11"/>
      <c r="F16" s="11"/>
      <c r="G16" s="11"/>
      <c r="H16" s="11"/>
      <c r="I16" s="11"/>
    </row>
    <row r="17" spans="1:9" x14ac:dyDescent="0.45">
      <c r="A17" s="43"/>
      <c r="B17" s="43"/>
      <c r="C17" s="3" t="s">
        <v>10</v>
      </c>
      <c r="D17" s="18">
        <v>70</v>
      </c>
      <c r="E17" s="18">
        <v>68</v>
      </c>
      <c r="F17" s="18">
        <v>71</v>
      </c>
      <c r="G17" s="18">
        <f>G15*G24</f>
        <v>86.586833668638391</v>
      </c>
      <c r="H17" s="18">
        <f t="shared" ref="H17:I17" si="8">H15*H24</f>
        <v>94.851940518826638</v>
      </c>
      <c r="I17" s="18">
        <f t="shared" si="8"/>
        <v>103.90598938653278</v>
      </c>
    </row>
    <row r="18" spans="1:9" x14ac:dyDescent="0.45">
      <c r="A18" s="43"/>
      <c r="B18" s="43"/>
      <c r="C18" s="4" t="s">
        <v>11</v>
      </c>
      <c r="D18" s="19">
        <f>D15-D17</f>
        <v>172</v>
      </c>
      <c r="E18" s="19">
        <f t="shared" ref="E18:F18" si="9">E15-E17</f>
        <v>159</v>
      </c>
      <c r="F18" s="19">
        <f t="shared" si="9"/>
        <v>171</v>
      </c>
      <c r="G18" s="19">
        <f>G15-G17</f>
        <v>207.85806991262859</v>
      </c>
      <c r="H18" s="19">
        <f t="shared" ref="H18" si="10">H15-H17</f>
        <v>227.6990674951978</v>
      </c>
      <c r="I18" s="19">
        <f t="shared" ref="I18" si="11">I15-I17</f>
        <v>249.43397848337571</v>
      </c>
    </row>
    <row r="19" spans="1:9" x14ac:dyDescent="0.45">
      <c r="A19" s="43"/>
      <c r="B19" s="43"/>
      <c r="D19" s="11"/>
      <c r="E19" s="11"/>
      <c r="F19" s="11"/>
      <c r="G19" s="11"/>
      <c r="H19" s="11"/>
      <c r="I19" s="11"/>
    </row>
    <row r="20" spans="1:9" x14ac:dyDescent="0.45">
      <c r="A20" s="43"/>
      <c r="B20" s="43"/>
      <c r="C20" s="4" t="s">
        <v>12</v>
      </c>
      <c r="D20" s="11"/>
      <c r="E20" s="11"/>
      <c r="F20" s="11"/>
      <c r="G20" s="11"/>
      <c r="H20" s="11"/>
      <c r="I20" s="11"/>
    </row>
    <row r="21" spans="1:9" x14ac:dyDescent="0.45">
      <c r="A21" s="43"/>
      <c r="B21" s="43"/>
      <c r="C21" s="3" t="s">
        <v>13</v>
      </c>
      <c r="D21" s="20"/>
      <c r="E21" s="20">
        <f>(E8/D8-1)</f>
        <v>0.10000000000000009</v>
      </c>
      <c r="F21" s="20">
        <f>(F8/E8-1)</f>
        <v>9.0909090909090828E-2</v>
      </c>
      <c r="G21" s="20">
        <f>AVERAGE(E21:F21)</f>
        <v>9.5454545454545459E-2</v>
      </c>
      <c r="H21" s="20">
        <f>G21</f>
        <v>9.5454545454545459E-2</v>
      </c>
      <c r="I21" s="20">
        <f>H21</f>
        <v>9.5454545454545459E-2</v>
      </c>
    </row>
    <row r="22" spans="1:9" x14ac:dyDescent="0.45">
      <c r="A22" s="43"/>
      <c r="B22" s="43"/>
      <c r="C22" s="3" t="s">
        <v>15</v>
      </c>
      <c r="D22" s="20">
        <f>1+D9/D8</f>
        <v>0.4</v>
      </c>
      <c r="E22" s="20">
        <f>1+E9/E8</f>
        <v>0.36363636363636365</v>
      </c>
      <c r="F22" s="20">
        <f>1+F9/F8</f>
        <v>0.35416666666666663</v>
      </c>
      <c r="G22" s="20">
        <f>AVERAGE(D22:F22)</f>
        <v>0.37260101010101004</v>
      </c>
      <c r="H22" s="20">
        <f>G22</f>
        <v>0.37260101010101004</v>
      </c>
      <c r="I22" s="20">
        <f>G22</f>
        <v>0.37260101010101004</v>
      </c>
    </row>
    <row r="23" spans="1:9" x14ac:dyDescent="0.45">
      <c r="A23" s="43"/>
      <c r="B23" s="43"/>
      <c r="C23" s="3" t="s">
        <v>14</v>
      </c>
      <c r="D23" s="20">
        <f>-D10/D8</f>
        <v>0.15</v>
      </c>
      <c r="E23" s="20">
        <f>-E10/E8</f>
        <v>0.15</v>
      </c>
      <c r="F23" s="20">
        <f>-F10/F8</f>
        <v>0.14583333333333334</v>
      </c>
      <c r="G23" s="20">
        <f>AVERAGE(D23:F23)</f>
        <v>0.14861111111111111</v>
      </c>
      <c r="H23" s="20">
        <f>G23</f>
        <v>0.14861111111111111</v>
      </c>
      <c r="I23" s="20">
        <f>H23</f>
        <v>0.14861111111111111</v>
      </c>
    </row>
    <row r="24" spans="1:9" x14ac:dyDescent="0.45">
      <c r="A24" s="43"/>
      <c r="B24" s="43"/>
      <c r="C24" s="3" t="s">
        <v>16</v>
      </c>
      <c r="D24" s="20">
        <f>D17/D15</f>
        <v>0.28925619834710742</v>
      </c>
      <c r="E24" s="20">
        <f>E17/E15</f>
        <v>0.29955947136563876</v>
      </c>
      <c r="F24" s="20">
        <f>F17/F15</f>
        <v>0.29338842975206614</v>
      </c>
      <c r="G24" s="20">
        <f>AVERAGE(D24:F24)</f>
        <v>0.29406803315493746</v>
      </c>
      <c r="H24" s="20">
        <f>G24</f>
        <v>0.29406803315493746</v>
      </c>
      <c r="I24" s="20">
        <f>H24</f>
        <v>0.29406803315493746</v>
      </c>
    </row>
    <row r="25" spans="1:9" x14ac:dyDescent="0.45">
      <c r="A25" s="43"/>
      <c r="B25" s="43"/>
      <c r="C25" s="5" t="s">
        <v>27</v>
      </c>
      <c r="D25" s="20"/>
      <c r="E25" s="20"/>
      <c r="F25" s="20">
        <f>F9/E9-1</f>
        <v>0.10714285714285721</v>
      </c>
      <c r="G25" s="20">
        <f>G9/F9-1</f>
        <v>6.4186439171776577E-2</v>
      </c>
      <c r="H25" s="20">
        <f>H9/G9-1</f>
        <v>9.5454545454545459E-2</v>
      </c>
      <c r="I25" s="20">
        <f>I9/H9-1</f>
        <v>9.5454545454545459E-2</v>
      </c>
    </row>
    <row r="26" spans="1:9" x14ac:dyDescent="0.45">
      <c r="A26" s="43"/>
      <c r="B26" s="43"/>
      <c r="C26" s="5" t="s">
        <v>28</v>
      </c>
      <c r="D26" s="21">
        <v>25</v>
      </c>
      <c r="E26" s="21">
        <v>30</v>
      </c>
      <c r="F26" s="21">
        <v>35</v>
      </c>
      <c r="G26" s="21">
        <f>F26*(G21+1)</f>
        <v>38.340909090909093</v>
      </c>
      <c r="H26" s="21">
        <f>G26*(H21+1)</f>
        <v>42.000723140495872</v>
      </c>
      <c r="I26" s="21">
        <f>H26*(I21+1)</f>
        <v>46.009883076634111</v>
      </c>
    </row>
    <row r="27" spans="1:9" x14ac:dyDescent="0.45">
      <c r="A27" s="43"/>
      <c r="B27" s="43"/>
      <c r="C27" s="5" t="s">
        <v>29</v>
      </c>
      <c r="D27" s="22">
        <v>-35</v>
      </c>
      <c r="E27" s="22">
        <v>-40</v>
      </c>
      <c r="F27" s="23">
        <v>67</v>
      </c>
      <c r="G27" s="23">
        <f>F27*(G21+1)</f>
        <v>73.395454545454541</v>
      </c>
      <c r="H27" s="23">
        <f>G27*(H21+1)</f>
        <v>80.40138429752065</v>
      </c>
      <c r="I27" s="23">
        <f>H27*(I21+1)</f>
        <v>88.076061889556712</v>
      </c>
    </row>
    <row r="28" spans="1:9" x14ac:dyDescent="0.45">
      <c r="A28" s="43"/>
      <c r="B28" s="43"/>
      <c r="C28" s="5"/>
      <c r="D28" s="22"/>
      <c r="E28" s="22"/>
      <c r="F28" s="23"/>
      <c r="G28" s="23"/>
      <c r="H28" s="23"/>
      <c r="I28" s="23"/>
    </row>
    <row r="29" spans="1:9" x14ac:dyDescent="0.45">
      <c r="A29" s="43"/>
      <c r="B29" s="43"/>
      <c r="C29" s="5" t="s">
        <v>30</v>
      </c>
      <c r="D29" s="24">
        <v>-10</v>
      </c>
      <c r="E29" s="24">
        <v>-12</v>
      </c>
      <c r="F29" s="24">
        <v>-14</v>
      </c>
      <c r="G29" s="15">
        <f>F29*(G21+1)</f>
        <v>-15.336363636363636</v>
      </c>
      <c r="H29" s="15">
        <f>G29*(H21+1)</f>
        <v>-16.800289256198347</v>
      </c>
      <c r="I29" s="15">
        <f>H29*(I21+1)</f>
        <v>-18.403953230653645</v>
      </c>
    </row>
    <row r="30" spans="1:9" x14ac:dyDescent="0.45">
      <c r="A30" s="43"/>
      <c r="B30" s="43"/>
      <c r="C30" s="5" t="s">
        <v>31</v>
      </c>
      <c r="D30" s="24">
        <v>-16</v>
      </c>
      <c r="E30" s="24">
        <v>-18</v>
      </c>
      <c r="F30" s="24">
        <v>-21</v>
      </c>
      <c r="G30" s="15">
        <f>F30*(G21+1)</f>
        <v>-23.004545454545454</v>
      </c>
      <c r="H30" s="15">
        <f>G30*(H21+1)</f>
        <v>-25.200433884297521</v>
      </c>
      <c r="I30" s="15">
        <f>H30*(I21+1)</f>
        <v>-27.605929845980466</v>
      </c>
    </row>
    <row r="31" spans="1:9" x14ac:dyDescent="0.45">
      <c r="A31" s="43"/>
      <c r="B31" s="43"/>
      <c r="C31" s="5"/>
      <c r="D31" s="22"/>
      <c r="E31" s="22"/>
      <c r="F31" s="23"/>
      <c r="G31" s="23"/>
      <c r="H31" s="23"/>
      <c r="I31" s="23"/>
    </row>
    <row r="32" spans="1:9" x14ac:dyDescent="0.45">
      <c r="A32" s="43"/>
      <c r="B32" s="43"/>
      <c r="C32" s="10" t="s">
        <v>17</v>
      </c>
      <c r="D32" s="11"/>
      <c r="E32" s="11"/>
      <c r="F32" s="11"/>
      <c r="G32" s="11"/>
      <c r="H32" s="11"/>
      <c r="I32" s="11"/>
    </row>
    <row r="33" spans="1:10" x14ac:dyDescent="0.45">
      <c r="A33" s="43"/>
      <c r="B33" s="43"/>
      <c r="C33" s="4"/>
      <c r="D33" s="11"/>
      <c r="E33" s="11"/>
      <c r="F33" s="11"/>
      <c r="G33" s="11"/>
      <c r="H33" s="11"/>
      <c r="I33" s="11"/>
    </row>
    <row r="34" spans="1:10" x14ac:dyDescent="0.45">
      <c r="A34" s="43"/>
      <c r="B34" s="43"/>
      <c r="C34" s="3" t="s">
        <v>18</v>
      </c>
      <c r="D34" s="11">
        <v>286</v>
      </c>
      <c r="E34" s="11">
        <v>296</v>
      </c>
      <c r="F34" s="11">
        <v>306</v>
      </c>
      <c r="G34" s="55">
        <f>F34+G105</f>
        <v>288.56797482687369</v>
      </c>
      <c r="H34" s="55">
        <f t="shared" ref="H34:I34" si="12">G34+H105</f>
        <v>287.44653182101797</v>
      </c>
      <c r="I34" s="55">
        <f t="shared" si="12"/>
        <v>290.48813431656191</v>
      </c>
    </row>
    <row r="35" spans="1:10" x14ac:dyDescent="0.45">
      <c r="A35" s="43"/>
      <c r="B35" s="43"/>
      <c r="C35" s="3" t="s">
        <v>19</v>
      </c>
      <c r="D35" s="11">
        <v>135</v>
      </c>
      <c r="E35" s="11">
        <v>145</v>
      </c>
      <c r="F35" s="11">
        <v>154</v>
      </c>
      <c r="G35" s="11">
        <f>F35*(1+G21)</f>
        <v>168.7</v>
      </c>
      <c r="H35" s="11">
        <f t="shared" ref="H35:I35" si="13">G35*(1+H21)</f>
        <v>184.8031818181818</v>
      </c>
      <c r="I35" s="11">
        <f t="shared" si="13"/>
        <v>202.44348553719007</v>
      </c>
    </row>
    <row r="36" spans="1:10" x14ac:dyDescent="0.45">
      <c r="A36" s="43"/>
      <c r="B36" s="43"/>
      <c r="C36" s="3" t="s">
        <v>20</v>
      </c>
      <c r="D36" s="11">
        <v>265</v>
      </c>
      <c r="E36" s="11">
        <v>297</v>
      </c>
      <c r="F36" s="11">
        <v>345</v>
      </c>
      <c r="G36" s="11">
        <f>F36*(1+G25)</f>
        <v>367.14432151426291</v>
      </c>
      <c r="H36" s="11">
        <f t="shared" ref="H36:I36" si="14">G36*(1+G25)</f>
        <v>390.71000817440131</v>
      </c>
      <c r="I36" s="11">
        <f t="shared" si="14"/>
        <v>428.00505440923052</v>
      </c>
    </row>
    <row r="37" spans="1:10" x14ac:dyDescent="0.45">
      <c r="A37" s="43"/>
      <c r="B37" s="43"/>
      <c r="C37" s="3" t="s">
        <v>21</v>
      </c>
      <c r="D37" s="11">
        <v>39</v>
      </c>
      <c r="E37" s="11">
        <v>41</v>
      </c>
      <c r="F37" s="11">
        <v>45</v>
      </c>
      <c r="G37" s="11">
        <f>F37*(1+G21)</f>
        <v>49.295454545454547</v>
      </c>
      <c r="H37" s="11">
        <f t="shared" ref="H37:I37" si="15">G37*(1+H21)</f>
        <v>54.000929752066121</v>
      </c>
      <c r="I37" s="11">
        <f t="shared" si="15"/>
        <v>59.155563955672434</v>
      </c>
      <c r="J37" s="1"/>
    </row>
    <row r="38" spans="1:10" x14ac:dyDescent="0.45">
      <c r="A38" s="43"/>
      <c r="B38" s="43"/>
      <c r="C38" s="4" t="s">
        <v>22</v>
      </c>
      <c r="D38" s="25">
        <f t="shared" ref="D38:E38" si="16">SUM(D34:D37)</f>
        <v>725</v>
      </c>
      <c r="E38" s="25">
        <f t="shared" si="16"/>
        <v>779</v>
      </c>
      <c r="F38" s="25">
        <f>SUM(F34:F37)</f>
        <v>850</v>
      </c>
      <c r="G38" s="25">
        <f t="shared" ref="G38:I38" si="17">SUM(G34:G37)</f>
        <v>873.70775088659116</v>
      </c>
      <c r="H38" s="25">
        <f t="shared" si="17"/>
        <v>916.96065156566715</v>
      </c>
      <c r="I38" s="25">
        <f t="shared" si="17"/>
        <v>980.09223821865487</v>
      </c>
    </row>
    <row r="39" spans="1:10" x14ac:dyDescent="0.45">
      <c r="A39" s="43"/>
      <c r="B39" s="43"/>
      <c r="D39" s="11"/>
      <c r="E39" s="11"/>
      <c r="F39" s="11"/>
      <c r="G39" s="11"/>
      <c r="H39" s="11"/>
      <c r="I39" s="11"/>
    </row>
    <row r="40" spans="1:10" x14ac:dyDescent="0.45">
      <c r="A40" s="43"/>
      <c r="B40" s="43"/>
      <c r="C40" s="3" t="s">
        <v>23</v>
      </c>
      <c r="D40" s="11">
        <v>210</v>
      </c>
      <c r="E40" s="11">
        <v>243</v>
      </c>
      <c r="F40" s="11">
        <v>265</v>
      </c>
      <c r="G40" s="22">
        <f>F40+G27-G26</f>
        <v>300.0545454545454</v>
      </c>
      <c r="H40" s="22">
        <f t="shared" ref="H40:I40" si="18">G40+H27-H26</f>
        <v>338.45520661157013</v>
      </c>
      <c r="I40" s="22">
        <f t="shared" si="18"/>
        <v>380.52138542449279</v>
      </c>
    </row>
    <row r="41" spans="1:10" x14ac:dyDescent="0.45">
      <c r="A41" s="43"/>
      <c r="B41" s="43"/>
      <c r="C41" s="3" t="s">
        <v>24</v>
      </c>
      <c r="D41" s="11">
        <v>47</v>
      </c>
      <c r="E41" s="11">
        <v>56</v>
      </c>
      <c r="F41" s="11">
        <v>67</v>
      </c>
      <c r="G41" s="15">
        <f>F41-G30+G29</f>
        <v>74.668181818181807</v>
      </c>
      <c r="H41" s="15">
        <f t="shared" ref="H41:I41" si="19">G41-H30+H29</f>
        <v>83.068326446280992</v>
      </c>
      <c r="I41" s="15">
        <f t="shared" si="19"/>
        <v>92.270303061607819</v>
      </c>
    </row>
    <row r="42" spans="1:10" x14ac:dyDescent="0.45">
      <c r="A42" s="43"/>
      <c r="B42" s="43"/>
      <c r="C42" s="4" t="s">
        <v>25</v>
      </c>
      <c r="D42" s="25">
        <f>SUM(D40:D41)</f>
        <v>257</v>
      </c>
      <c r="E42" s="25">
        <f t="shared" ref="E42:I42" si="20">SUM(E40:E41)</f>
        <v>299</v>
      </c>
      <c r="F42" s="25">
        <f t="shared" si="20"/>
        <v>332</v>
      </c>
      <c r="G42" s="25">
        <f t="shared" si="20"/>
        <v>374.72272727272718</v>
      </c>
      <c r="H42" s="25">
        <f t="shared" si="20"/>
        <v>421.52353305785113</v>
      </c>
      <c r="I42" s="25">
        <f t="shared" si="20"/>
        <v>472.79168848610061</v>
      </c>
    </row>
    <row r="43" spans="1:10" x14ac:dyDescent="0.45">
      <c r="A43" s="43"/>
      <c r="B43" s="43"/>
      <c r="D43" s="11"/>
      <c r="E43" s="11"/>
      <c r="F43" s="11"/>
      <c r="G43" s="11"/>
      <c r="H43" s="11"/>
      <c r="I43" s="11"/>
    </row>
    <row r="44" spans="1:10" x14ac:dyDescent="0.45">
      <c r="A44" s="43"/>
      <c r="B44" s="43"/>
      <c r="C44" s="4" t="s">
        <v>26</v>
      </c>
      <c r="D44" s="26">
        <f>SUM(D38+D42)</f>
        <v>982</v>
      </c>
      <c r="E44" s="26">
        <f t="shared" ref="E44:I44" si="21">SUM(E38+E42)</f>
        <v>1078</v>
      </c>
      <c r="F44" s="26">
        <f t="shared" si="21"/>
        <v>1182</v>
      </c>
      <c r="G44" s="26">
        <f>SUM(G38+G42)</f>
        <v>1248.4304781593182</v>
      </c>
      <c r="H44" s="26">
        <f t="shared" si="21"/>
        <v>1338.4841846235183</v>
      </c>
      <c r="I44" s="26">
        <f t="shared" si="21"/>
        <v>1452.8839267047556</v>
      </c>
    </row>
    <row r="45" spans="1:10" x14ac:dyDescent="0.45">
      <c r="A45" s="43"/>
      <c r="B45" s="43"/>
      <c r="D45" s="11"/>
      <c r="E45" s="11"/>
      <c r="F45" s="11"/>
      <c r="G45" s="11"/>
      <c r="H45" s="11"/>
      <c r="I45" s="11"/>
    </row>
    <row r="46" spans="1:10" x14ac:dyDescent="0.45">
      <c r="A46" s="43"/>
      <c r="B46" s="43"/>
      <c r="C46" s="3" t="s">
        <v>32</v>
      </c>
      <c r="D46" s="11">
        <v>45</v>
      </c>
      <c r="E46" s="11">
        <v>47</v>
      </c>
      <c r="F46" s="11">
        <v>49</v>
      </c>
      <c r="G46" s="11">
        <f>F46*(1+G25)</f>
        <v>52.145135519417053</v>
      </c>
      <c r="H46" s="11">
        <f t="shared" ref="H46" si="22">G46*(1+H25)</f>
        <v>57.122625728088678</v>
      </c>
      <c r="I46" s="11">
        <f>H46*(1+I25)</f>
        <v>62.575240002133505</v>
      </c>
    </row>
    <row r="47" spans="1:10" x14ac:dyDescent="0.45">
      <c r="A47" s="43"/>
      <c r="B47" s="43"/>
      <c r="C47" s="3" t="s">
        <v>35</v>
      </c>
      <c r="D47" s="11">
        <v>32</v>
      </c>
      <c r="E47" s="11">
        <v>37</v>
      </c>
      <c r="F47" s="11">
        <v>47</v>
      </c>
      <c r="G47" s="11">
        <f>F47*(1+G21)</f>
        <v>51.486363636363635</v>
      </c>
      <c r="H47" s="11">
        <f>G47*(1+H25)</f>
        <v>56.400971074380166</v>
      </c>
      <c r="I47" s="11">
        <f>H47*(1+I25)</f>
        <v>61.784700131480093</v>
      </c>
    </row>
    <row r="48" spans="1:10" x14ac:dyDescent="0.45">
      <c r="A48" s="43"/>
      <c r="B48" s="43"/>
      <c r="C48" s="3" t="s">
        <v>33</v>
      </c>
      <c r="D48" s="11">
        <v>112</v>
      </c>
      <c r="E48" s="11">
        <v>143</v>
      </c>
      <c r="F48" s="11">
        <v>167</v>
      </c>
      <c r="G48" s="11">
        <f>F48*(1+G21)</f>
        <v>182.94090909090909</v>
      </c>
      <c r="H48" s="11">
        <f>G48*(1+H25)</f>
        <v>200.40345041322314</v>
      </c>
      <c r="I48" s="11">
        <f>H48*(1+I25)</f>
        <v>219.53287067993989</v>
      </c>
    </row>
    <row r="49" spans="1:12" x14ac:dyDescent="0.45">
      <c r="A49" s="43"/>
      <c r="B49" s="43"/>
      <c r="C49" s="4" t="s">
        <v>34</v>
      </c>
      <c r="D49" s="25">
        <f>SUM(D46:D48)</f>
        <v>189</v>
      </c>
      <c r="E49" s="25">
        <f t="shared" ref="E49:G49" si="23">SUM(E46:E48)</f>
        <v>227</v>
      </c>
      <c r="F49" s="25">
        <f t="shared" si="23"/>
        <v>263</v>
      </c>
      <c r="G49" s="25">
        <f t="shared" si="23"/>
        <v>286.57240824668975</v>
      </c>
      <c r="H49" s="25">
        <f t="shared" ref="H49:I49" si="24">SUM(H46:H48)</f>
        <v>313.92704721569197</v>
      </c>
      <c r="I49" s="25">
        <f t="shared" si="24"/>
        <v>343.89281081355352</v>
      </c>
    </row>
    <row r="50" spans="1:12" x14ac:dyDescent="0.45">
      <c r="A50" s="43"/>
      <c r="B50" s="43"/>
      <c r="D50" s="11"/>
      <c r="E50" s="11"/>
      <c r="F50" s="11"/>
      <c r="G50" s="11"/>
      <c r="H50" s="11"/>
      <c r="I50" s="11"/>
    </row>
    <row r="51" spans="1:12" x14ac:dyDescent="0.45">
      <c r="A51" s="43"/>
      <c r="B51" s="43"/>
      <c r="C51" s="3" t="s">
        <v>36</v>
      </c>
      <c r="D51" s="11">
        <v>0</v>
      </c>
      <c r="E51" s="11">
        <v>12</v>
      </c>
      <c r="F51" s="11">
        <v>5</v>
      </c>
      <c r="G51" s="27">
        <v>5</v>
      </c>
      <c r="H51" s="27">
        <v>5</v>
      </c>
      <c r="I51" s="27">
        <v>5</v>
      </c>
    </row>
    <row r="52" spans="1:12" x14ac:dyDescent="0.45">
      <c r="A52" s="43"/>
      <c r="B52" s="43"/>
      <c r="C52" s="3" t="s">
        <v>37</v>
      </c>
      <c r="D52" s="11">
        <v>167</v>
      </c>
      <c r="E52" s="11">
        <v>178</v>
      </c>
      <c r="F52" s="11">
        <v>186</v>
      </c>
      <c r="G52" s="11">
        <f t="shared" ref="G52:I53" si="25">F52</f>
        <v>186</v>
      </c>
      <c r="H52" s="11">
        <f t="shared" si="25"/>
        <v>186</v>
      </c>
      <c r="I52" s="11">
        <f t="shared" si="25"/>
        <v>186</v>
      </c>
    </row>
    <row r="53" spans="1:12" x14ac:dyDescent="0.45">
      <c r="A53" s="43"/>
      <c r="B53" s="43"/>
      <c r="C53" s="3" t="s">
        <v>38</v>
      </c>
      <c r="D53" s="11">
        <v>45</v>
      </c>
      <c r="E53" s="11">
        <v>47</v>
      </c>
      <c r="F53" s="11">
        <v>49</v>
      </c>
      <c r="G53" s="11">
        <v>49</v>
      </c>
      <c r="H53" s="11">
        <f t="shared" si="25"/>
        <v>49</v>
      </c>
      <c r="I53" s="11">
        <f t="shared" si="25"/>
        <v>49</v>
      </c>
    </row>
    <row r="54" spans="1:12" x14ac:dyDescent="0.45">
      <c r="A54" s="43"/>
      <c r="B54" s="43"/>
      <c r="C54" s="4" t="s">
        <v>39</v>
      </c>
      <c r="D54" s="25">
        <f>SUM(D49:D53)</f>
        <v>401</v>
      </c>
      <c r="E54" s="25">
        <f t="shared" ref="E54:F54" si="26">SUM(E49:E53)</f>
        <v>464</v>
      </c>
      <c r="F54" s="25">
        <f t="shared" si="26"/>
        <v>503</v>
      </c>
      <c r="G54" s="25">
        <f>SUM(G49:G53)</f>
        <v>526.57240824668975</v>
      </c>
      <c r="H54" s="25">
        <f t="shared" ref="H54" si="27">SUM(H49:H53)</f>
        <v>553.92704721569203</v>
      </c>
      <c r="I54" s="25">
        <f t="shared" ref="I54" si="28">SUM(I49:I53)</f>
        <v>583.89281081355352</v>
      </c>
    </row>
    <row r="55" spans="1:12" x14ac:dyDescent="0.45">
      <c r="A55" s="43"/>
      <c r="B55" s="43"/>
      <c r="D55" s="11"/>
      <c r="E55" s="11"/>
      <c r="F55" s="11"/>
      <c r="G55" s="11"/>
      <c r="H55" s="11"/>
      <c r="I55" s="11"/>
    </row>
    <row r="56" spans="1:12" x14ac:dyDescent="0.45">
      <c r="A56" s="43"/>
      <c r="B56" s="43"/>
      <c r="C56" s="3" t="s">
        <v>40</v>
      </c>
      <c r="D56" s="15">
        <v>35</v>
      </c>
      <c r="E56" s="15">
        <v>37</v>
      </c>
      <c r="F56" s="15">
        <v>39</v>
      </c>
      <c r="G56" s="55">
        <f>G69</f>
        <v>44</v>
      </c>
      <c r="H56" s="55">
        <f t="shared" ref="H56:I56" si="29">H69</f>
        <v>49</v>
      </c>
      <c r="I56" s="55">
        <f t="shared" si="29"/>
        <v>54</v>
      </c>
    </row>
    <row r="57" spans="1:12" x14ac:dyDescent="0.45">
      <c r="A57" s="43"/>
      <c r="B57" s="43"/>
      <c r="C57" s="3" t="s">
        <v>41</v>
      </c>
      <c r="D57" s="15">
        <v>-145</v>
      </c>
      <c r="E57" s="15">
        <v>-178</v>
      </c>
      <c r="F57" s="15">
        <v>-210</v>
      </c>
      <c r="G57" s="55">
        <f>G73</f>
        <v>-230</v>
      </c>
      <c r="H57" s="55">
        <f t="shared" ref="H57:I57" si="30">H73</f>
        <v>-250</v>
      </c>
      <c r="I57" s="55">
        <f t="shared" si="30"/>
        <v>-270</v>
      </c>
    </row>
    <row r="58" spans="1:12" x14ac:dyDescent="0.45">
      <c r="A58" s="43"/>
      <c r="B58" s="43"/>
      <c r="C58" s="3" t="s">
        <v>42</v>
      </c>
      <c r="D58" s="15">
        <v>-7</v>
      </c>
      <c r="E58" s="15">
        <v>12</v>
      </c>
      <c r="F58" s="15">
        <v>43</v>
      </c>
      <c r="G58" s="55">
        <f>F58</f>
        <v>43</v>
      </c>
      <c r="H58" s="55">
        <f t="shared" ref="H58:I58" si="31">G58</f>
        <v>43</v>
      </c>
      <c r="I58" s="55">
        <f t="shared" si="31"/>
        <v>43</v>
      </c>
      <c r="L58" s="6"/>
    </row>
    <row r="59" spans="1:12" x14ac:dyDescent="0.45">
      <c r="A59" s="43"/>
      <c r="B59" s="43"/>
      <c r="C59" s="3" t="s">
        <v>43</v>
      </c>
      <c r="D59" s="15">
        <v>698</v>
      </c>
      <c r="E59" s="15">
        <v>743</v>
      </c>
      <c r="F59" s="15">
        <v>807</v>
      </c>
      <c r="G59" s="55">
        <f>G78</f>
        <v>864.85806991262859</v>
      </c>
      <c r="H59" s="55">
        <f t="shared" ref="H59:I59" si="32">H78</f>
        <v>942.5571374078263</v>
      </c>
      <c r="I59" s="55">
        <f t="shared" si="32"/>
        <v>1041.9911158912021</v>
      </c>
      <c r="L59" s="6"/>
    </row>
    <row r="60" spans="1:12" x14ac:dyDescent="0.45">
      <c r="A60" s="43"/>
      <c r="B60" s="43"/>
      <c r="C60" s="4" t="s">
        <v>44</v>
      </c>
      <c r="D60" s="19">
        <f>SUM(D56:D59)</f>
        <v>581</v>
      </c>
      <c r="E60" s="19">
        <f t="shared" ref="E60:I60" si="33">SUM(E56:E59)</f>
        <v>614</v>
      </c>
      <c r="F60" s="19">
        <f t="shared" si="33"/>
        <v>679</v>
      </c>
      <c r="G60" s="19">
        <f t="shared" si="33"/>
        <v>721.85806991262859</v>
      </c>
      <c r="H60" s="19">
        <f t="shared" si="33"/>
        <v>784.5571374078263</v>
      </c>
      <c r="I60" s="19">
        <f t="shared" si="33"/>
        <v>868.99111589120207</v>
      </c>
    </row>
    <row r="61" spans="1:12" x14ac:dyDescent="0.45">
      <c r="A61" s="43"/>
      <c r="B61" s="43"/>
      <c r="D61" s="11"/>
      <c r="E61" s="11"/>
      <c r="F61" s="11"/>
      <c r="G61" s="11"/>
      <c r="H61" s="11"/>
      <c r="I61" s="11"/>
    </row>
    <row r="62" spans="1:12" x14ac:dyDescent="0.45">
      <c r="A62" s="43"/>
      <c r="B62" s="43"/>
      <c r="C62" s="38" t="s">
        <v>46</v>
      </c>
      <c r="D62" s="39">
        <f>SUM(D60+D54)</f>
        <v>982</v>
      </c>
      <c r="E62" s="39">
        <f t="shared" ref="E62:I62" si="34">SUM(E60+E54)</f>
        <v>1078</v>
      </c>
      <c r="F62" s="39">
        <f t="shared" si="34"/>
        <v>1182</v>
      </c>
      <c r="G62" s="39">
        <f t="shared" si="34"/>
        <v>1248.4304781593182</v>
      </c>
      <c r="H62" s="39">
        <f t="shared" si="34"/>
        <v>1338.4841846235183</v>
      </c>
      <c r="I62" s="39">
        <f t="shared" si="34"/>
        <v>1452.8839267047556</v>
      </c>
    </row>
    <row r="63" spans="1:12" x14ac:dyDescent="0.45">
      <c r="A63" s="43"/>
      <c r="B63" s="43"/>
      <c r="C63" s="40" t="s">
        <v>26</v>
      </c>
      <c r="D63" s="41">
        <f>D44</f>
        <v>982</v>
      </c>
      <c r="E63" s="41">
        <f>E44</f>
        <v>1078</v>
      </c>
      <c r="F63" s="41">
        <f>F44</f>
        <v>1182</v>
      </c>
      <c r="G63" s="41">
        <f>G44</f>
        <v>1248.4304781593182</v>
      </c>
      <c r="H63" s="41">
        <f>H44</f>
        <v>1338.4841846235183</v>
      </c>
      <c r="I63" s="41">
        <f>I44</f>
        <v>1452.8839267047556</v>
      </c>
    </row>
    <row r="64" spans="1:12" x14ac:dyDescent="0.45">
      <c r="A64" s="43"/>
      <c r="B64" s="43"/>
      <c r="C64" s="40" t="s">
        <v>45</v>
      </c>
      <c r="D64" s="42">
        <f>D62-D63</f>
        <v>0</v>
      </c>
      <c r="E64" s="41">
        <f>E63-E62</f>
        <v>0</v>
      </c>
      <c r="F64" s="41">
        <f>F63-F62</f>
        <v>0</v>
      </c>
      <c r="G64" s="41">
        <f>G63-G62</f>
        <v>0</v>
      </c>
      <c r="H64" s="41">
        <f t="shared" ref="H64:I64" si="35">H63-H62</f>
        <v>0</v>
      </c>
      <c r="I64" s="41">
        <f t="shared" si="35"/>
        <v>0</v>
      </c>
    </row>
    <row r="65" spans="1:9" x14ac:dyDescent="0.45">
      <c r="A65" s="43"/>
      <c r="B65" s="43"/>
      <c r="D65" s="11"/>
      <c r="E65" s="11"/>
      <c r="F65" s="11"/>
      <c r="G65" s="11"/>
      <c r="H65" s="11"/>
      <c r="I65" s="11"/>
    </row>
    <row r="66" spans="1:9" s="7" customFormat="1" x14ac:dyDescent="0.45">
      <c r="A66" s="43"/>
      <c r="B66" s="43"/>
      <c r="C66" s="10" t="s">
        <v>56</v>
      </c>
      <c r="D66" s="25"/>
      <c r="E66" s="25"/>
      <c r="F66" s="25"/>
      <c r="G66" s="25"/>
      <c r="H66" s="25"/>
      <c r="I66" s="25"/>
    </row>
    <row r="67" spans="1:9" x14ac:dyDescent="0.45">
      <c r="A67" s="43"/>
      <c r="B67" s="43"/>
      <c r="C67" s="3" t="s">
        <v>47</v>
      </c>
      <c r="D67" s="15">
        <v>35</v>
      </c>
      <c r="E67" s="15">
        <v>37</v>
      </c>
      <c r="F67" s="15">
        <v>39</v>
      </c>
      <c r="G67" s="15">
        <f>F56</f>
        <v>39</v>
      </c>
      <c r="H67" s="15">
        <f>G69</f>
        <v>44</v>
      </c>
      <c r="I67" s="15">
        <f>H69</f>
        <v>49</v>
      </c>
    </row>
    <row r="68" spans="1:9" x14ac:dyDescent="0.45">
      <c r="A68" s="43"/>
      <c r="B68" s="43"/>
      <c r="C68" s="3" t="s">
        <v>48</v>
      </c>
      <c r="D68" s="11"/>
      <c r="E68" s="11"/>
      <c r="F68" s="11"/>
      <c r="G68" s="11">
        <v>5</v>
      </c>
      <c r="H68" s="11">
        <v>5</v>
      </c>
      <c r="I68" s="11">
        <v>5</v>
      </c>
    </row>
    <row r="69" spans="1:9" s="7" customFormat="1" x14ac:dyDescent="0.45">
      <c r="A69" s="43"/>
      <c r="B69" s="43"/>
      <c r="C69" s="4" t="s">
        <v>49</v>
      </c>
      <c r="D69" s="25"/>
      <c r="E69" s="25"/>
      <c r="F69" s="25"/>
      <c r="G69" s="19">
        <f>G67+G68</f>
        <v>44</v>
      </c>
      <c r="H69" s="19">
        <f>H67+H68</f>
        <v>49</v>
      </c>
      <c r="I69" s="19">
        <f>I67+I68</f>
        <v>54</v>
      </c>
    </row>
    <row r="70" spans="1:9" x14ac:dyDescent="0.45">
      <c r="A70" s="43"/>
      <c r="B70" s="43"/>
      <c r="D70" s="11"/>
      <c r="E70" s="11"/>
      <c r="F70" s="11"/>
      <c r="G70" s="11"/>
      <c r="H70" s="11"/>
      <c r="I70" s="11"/>
    </row>
    <row r="71" spans="1:9" x14ac:dyDescent="0.45">
      <c r="A71" s="43"/>
      <c r="B71" s="43"/>
      <c r="C71" s="3" t="s">
        <v>50</v>
      </c>
      <c r="D71" s="15">
        <v>-145</v>
      </c>
      <c r="E71" s="15">
        <v>-178</v>
      </c>
      <c r="F71" s="15">
        <v>-210</v>
      </c>
      <c r="G71" s="15">
        <f>F57</f>
        <v>-210</v>
      </c>
      <c r="H71" s="15">
        <f>G73</f>
        <v>-230</v>
      </c>
      <c r="I71" s="15">
        <f>H73</f>
        <v>-250</v>
      </c>
    </row>
    <row r="72" spans="1:9" x14ac:dyDescent="0.45">
      <c r="A72" s="43"/>
      <c r="B72" s="43"/>
      <c r="C72" s="3" t="s">
        <v>51</v>
      </c>
      <c r="D72" s="11"/>
      <c r="E72" s="11"/>
      <c r="F72" s="11"/>
      <c r="G72" s="15">
        <v>-20</v>
      </c>
      <c r="H72" s="15">
        <v>-20</v>
      </c>
      <c r="I72" s="15">
        <v>-20</v>
      </c>
    </row>
    <row r="73" spans="1:9" s="7" customFormat="1" x14ac:dyDescent="0.45">
      <c r="A73" s="43"/>
      <c r="B73" s="43"/>
      <c r="C73" s="4" t="s">
        <v>52</v>
      </c>
      <c r="D73" s="25"/>
      <c r="E73" s="25"/>
      <c r="F73" s="25"/>
      <c r="G73" s="19">
        <f>G71+G72</f>
        <v>-230</v>
      </c>
      <c r="H73" s="19">
        <f t="shared" ref="H73:I73" si="36">H71+H72</f>
        <v>-250</v>
      </c>
      <c r="I73" s="19">
        <f t="shared" si="36"/>
        <v>-270</v>
      </c>
    </row>
    <row r="74" spans="1:9" x14ac:dyDescent="0.45">
      <c r="A74" s="43"/>
      <c r="B74" s="43"/>
      <c r="D74" s="11"/>
      <c r="E74" s="11"/>
      <c r="F74" s="11"/>
      <c r="G74" s="11"/>
      <c r="H74" s="11"/>
      <c r="I74" s="11"/>
    </row>
    <row r="75" spans="1:9" x14ac:dyDescent="0.45">
      <c r="A75" s="43"/>
      <c r="B75" s="43"/>
      <c r="C75" s="3" t="s">
        <v>53</v>
      </c>
      <c r="D75" s="15">
        <v>698</v>
      </c>
      <c r="E75" s="15">
        <v>743</v>
      </c>
      <c r="F75" s="15">
        <v>807</v>
      </c>
      <c r="G75" s="15">
        <f>F59</f>
        <v>807</v>
      </c>
      <c r="H75" s="15">
        <f>G78</f>
        <v>864.85806991262859</v>
      </c>
      <c r="I75" s="15">
        <f>H78</f>
        <v>942.5571374078263</v>
      </c>
    </row>
    <row r="76" spans="1:9" x14ac:dyDescent="0.45">
      <c r="A76" s="43"/>
      <c r="B76" s="43"/>
      <c r="C76" s="3" t="s">
        <v>11</v>
      </c>
      <c r="D76" s="11"/>
      <c r="E76" s="11"/>
      <c r="F76" s="11"/>
      <c r="G76" s="15">
        <f>G18</f>
        <v>207.85806991262859</v>
      </c>
      <c r="H76" s="15">
        <f>H18</f>
        <v>227.6990674951978</v>
      </c>
      <c r="I76" s="15">
        <f>I18</f>
        <v>249.43397848337571</v>
      </c>
    </row>
    <row r="77" spans="1:9" x14ac:dyDescent="0.45">
      <c r="A77" s="43"/>
      <c r="B77" s="43"/>
      <c r="C77" s="3" t="s">
        <v>54</v>
      </c>
      <c r="D77" s="11"/>
      <c r="E77" s="11"/>
      <c r="F77" s="11"/>
      <c r="G77" s="15">
        <v>-150</v>
      </c>
      <c r="H77" s="15">
        <v>-150</v>
      </c>
      <c r="I77" s="15">
        <v>-150</v>
      </c>
    </row>
    <row r="78" spans="1:9" s="7" customFormat="1" x14ac:dyDescent="0.45">
      <c r="A78" s="43"/>
      <c r="B78" s="43"/>
      <c r="C78" s="4" t="s">
        <v>55</v>
      </c>
      <c r="D78" s="25"/>
      <c r="E78" s="25"/>
      <c r="F78" s="25"/>
      <c r="G78" s="19">
        <f>SUM(G75:G77)</f>
        <v>864.85806991262859</v>
      </c>
      <c r="H78" s="19">
        <f t="shared" ref="H78:I78" si="37">SUM(H75:H77)</f>
        <v>942.5571374078263</v>
      </c>
      <c r="I78" s="19">
        <f t="shared" si="37"/>
        <v>1041.9911158912021</v>
      </c>
    </row>
    <row r="79" spans="1:9" x14ac:dyDescent="0.45">
      <c r="A79" s="43"/>
      <c r="B79" s="43"/>
      <c r="D79" s="11"/>
      <c r="E79" s="11"/>
      <c r="F79" s="11"/>
      <c r="G79" s="11"/>
      <c r="H79" s="11"/>
      <c r="I79" s="11"/>
    </row>
    <row r="80" spans="1:9" s="7" customFormat="1" x14ac:dyDescent="0.45">
      <c r="A80" s="43"/>
      <c r="B80" s="43"/>
      <c r="C80" s="10" t="s">
        <v>57</v>
      </c>
      <c r="D80" s="25"/>
      <c r="E80" s="25"/>
      <c r="F80" s="25"/>
      <c r="G80" s="25"/>
      <c r="H80" s="25"/>
      <c r="I80" s="25"/>
    </row>
    <row r="81" spans="1:12" x14ac:dyDescent="0.45">
      <c r="A81" s="43"/>
      <c r="B81" s="43"/>
      <c r="D81" s="11"/>
      <c r="E81" s="11"/>
      <c r="F81" s="11"/>
      <c r="G81" s="11"/>
      <c r="H81" s="11"/>
      <c r="I81" s="11"/>
    </row>
    <row r="82" spans="1:12" x14ac:dyDescent="0.45">
      <c r="A82" s="43"/>
      <c r="B82" s="43"/>
      <c r="C82" s="3" t="s">
        <v>60</v>
      </c>
      <c r="D82" s="46" t="s">
        <v>72</v>
      </c>
      <c r="E82" s="47"/>
      <c r="F82" s="48"/>
      <c r="G82" s="13">
        <f>G18</f>
        <v>207.85806991262859</v>
      </c>
      <c r="H82" s="13">
        <f t="shared" ref="H82:I82" si="38">H18</f>
        <v>227.6990674951978</v>
      </c>
      <c r="I82" s="13">
        <f t="shared" si="38"/>
        <v>249.43397848337571</v>
      </c>
    </row>
    <row r="83" spans="1:12" x14ac:dyDescent="0.45">
      <c r="A83" s="43"/>
      <c r="B83" s="43"/>
      <c r="C83" s="3" t="s">
        <v>58</v>
      </c>
      <c r="D83" s="49"/>
      <c r="E83" s="50"/>
      <c r="F83" s="51"/>
      <c r="G83" s="13">
        <f>G26-G29</f>
        <v>53.677272727272729</v>
      </c>
      <c r="H83" s="13">
        <f t="shared" ref="H83:I83" si="39">H26-H29</f>
        <v>58.801012396694219</v>
      </c>
      <c r="I83" s="13">
        <f t="shared" si="39"/>
        <v>64.413836307287752</v>
      </c>
    </row>
    <row r="84" spans="1:12" x14ac:dyDescent="0.45">
      <c r="A84" s="43"/>
      <c r="B84" s="43"/>
      <c r="C84" s="3" t="s">
        <v>19</v>
      </c>
      <c r="D84" s="49"/>
      <c r="E84" s="50"/>
      <c r="F84" s="51"/>
      <c r="G84" s="13">
        <f>F35-G35</f>
        <v>-14.699999999999989</v>
      </c>
      <c r="H84" s="13">
        <f>G35-H35</f>
        <v>-16.10318181818181</v>
      </c>
      <c r="I84" s="13">
        <f>H35-I35</f>
        <v>-17.640303719008273</v>
      </c>
    </row>
    <row r="85" spans="1:12" x14ac:dyDescent="0.45">
      <c r="A85" s="43"/>
      <c r="B85" s="43"/>
      <c r="C85" s="3" t="s">
        <v>20</v>
      </c>
      <c r="D85" s="49"/>
      <c r="E85" s="50"/>
      <c r="F85" s="51"/>
      <c r="G85" s="13">
        <f>F36-G36</f>
        <v>-22.144321514262913</v>
      </c>
      <c r="H85" s="13">
        <f t="shared" ref="H85:I85" si="40">G36-H36</f>
        <v>-23.565686660138397</v>
      </c>
      <c r="I85" s="13">
        <f t="shared" si="40"/>
        <v>-37.295046234829215</v>
      </c>
    </row>
    <row r="86" spans="1:12" x14ac:dyDescent="0.45">
      <c r="A86" s="43"/>
      <c r="B86" s="43"/>
      <c r="C86" s="3" t="s">
        <v>21</v>
      </c>
      <c r="D86" s="49"/>
      <c r="E86" s="50"/>
      <c r="F86" s="51"/>
      <c r="G86" s="13">
        <f>F37-G37</f>
        <v>-4.2954545454545467</v>
      </c>
      <c r="H86" s="13">
        <f>G37-H37</f>
        <v>-4.7054752066115739</v>
      </c>
      <c r="I86" s="13">
        <f>H37-I37</f>
        <v>-5.1546342036063137</v>
      </c>
      <c r="L86">
        <v>-1</v>
      </c>
    </row>
    <row r="87" spans="1:12" x14ac:dyDescent="0.45">
      <c r="A87" s="43"/>
      <c r="B87" s="43"/>
      <c r="C87" s="3" t="s">
        <v>32</v>
      </c>
      <c r="D87" s="49"/>
      <c r="E87" s="50"/>
      <c r="F87" s="51"/>
      <c r="G87" s="13">
        <f>G46-F46</f>
        <v>3.1451355194170532</v>
      </c>
      <c r="H87" s="13">
        <f t="shared" ref="H87:I87" si="41">H46-G46</f>
        <v>4.9774902086716253</v>
      </c>
      <c r="I87" s="13">
        <f t="shared" si="41"/>
        <v>5.4526142740448265</v>
      </c>
    </row>
    <row r="88" spans="1:12" x14ac:dyDescent="0.45">
      <c r="A88" s="43"/>
      <c r="B88" s="43"/>
      <c r="C88" s="3" t="s">
        <v>35</v>
      </c>
      <c r="D88" s="49"/>
      <c r="E88" s="50"/>
      <c r="F88" s="51"/>
      <c r="G88" s="13">
        <f t="shared" ref="G88:I88" si="42">G47-F47</f>
        <v>4.4863636363636346</v>
      </c>
      <c r="H88" s="13">
        <f t="shared" si="42"/>
        <v>4.9146074380165317</v>
      </c>
      <c r="I88" s="13">
        <f t="shared" si="42"/>
        <v>5.3837290570999272</v>
      </c>
    </row>
    <row r="89" spans="1:12" x14ac:dyDescent="0.45">
      <c r="A89" s="43"/>
      <c r="B89" s="43"/>
      <c r="C89" s="3" t="s">
        <v>33</v>
      </c>
      <c r="D89" s="49"/>
      <c r="E89" s="50"/>
      <c r="F89" s="51"/>
      <c r="G89" s="13">
        <f t="shared" ref="G89:I89" si="43">G48-F48</f>
        <v>15.940909090909088</v>
      </c>
      <c r="H89" s="13">
        <f t="shared" si="43"/>
        <v>17.462541322314053</v>
      </c>
      <c r="I89" s="13">
        <f t="shared" si="43"/>
        <v>19.12942026671675</v>
      </c>
    </row>
    <row r="90" spans="1:12" s="7" customFormat="1" x14ac:dyDescent="0.45">
      <c r="A90" s="43"/>
      <c r="B90" s="43"/>
      <c r="C90" s="4" t="s">
        <v>59</v>
      </c>
      <c r="D90" s="49"/>
      <c r="E90" s="50"/>
      <c r="F90" s="51"/>
      <c r="G90" s="28">
        <f>SUM(G82:G89)</f>
        <v>243.96797482687367</v>
      </c>
      <c r="H90" s="28">
        <f t="shared" ref="H90:I90" si="44">SUM(H82:H89)</f>
        <v>269.48037517596242</v>
      </c>
      <c r="I90" s="28">
        <f t="shared" si="44"/>
        <v>283.72359423108111</v>
      </c>
    </row>
    <row r="91" spans="1:12" x14ac:dyDescent="0.45">
      <c r="A91" s="43"/>
      <c r="B91" s="43"/>
      <c r="D91" s="49"/>
      <c r="E91" s="50"/>
      <c r="F91" s="51"/>
      <c r="G91" s="11"/>
      <c r="H91" s="11"/>
      <c r="I91" s="11"/>
    </row>
    <row r="92" spans="1:12" x14ac:dyDescent="0.45">
      <c r="A92" s="43"/>
      <c r="B92" s="43"/>
      <c r="C92" s="3" t="s">
        <v>61</v>
      </c>
      <c r="D92" s="49"/>
      <c r="E92" s="50"/>
      <c r="F92" s="51"/>
      <c r="G92" s="22">
        <f>G27*L86</f>
        <v>-73.395454545454541</v>
      </c>
      <c r="H92" s="22">
        <f>H27*L86</f>
        <v>-80.40138429752065</v>
      </c>
      <c r="I92" s="22">
        <f>I27*L86</f>
        <v>-88.076061889556712</v>
      </c>
    </row>
    <row r="93" spans="1:12" x14ac:dyDescent="0.45">
      <c r="A93" s="43"/>
      <c r="B93" s="43"/>
      <c r="C93" s="3" t="s">
        <v>62</v>
      </c>
      <c r="D93" s="49"/>
      <c r="E93" s="50"/>
      <c r="F93" s="51"/>
      <c r="G93" s="22" cm="1">
        <f t="array" ref="G93:I93">G30:I30</f>
        <v>-23.004545454545454</v>
      </c>
      <c r="H93" s="22">
        <v>-25.200433884297521</v>
      </c>
      <c r="I93" s="22">
        <v>-27.605929845980466</v>
      </c>
    </row>
    <row r="94" spans="1:12" s="7" customFormat="1" x14ac:dyDescent="0.45">
      <c r="A94" s="43"/>
      <c r="B94" s="43"/>
      <c r="C94" s="4" t="s">
        <v>63</v>
      </c>
      <c r="D94" s="49"/>
      <c r="E94" s="50"/>
      <c r="F94" s="51"/>
      <c r="G94" s="29">
        <f>SUM(G92:G93)</f>
        <v>-96.399999999999991</v>
      </c>
      <c r="H94" s="29">
        <f t="shared" ref="H94:I94" si="45">SUM(H92:H93)</f>
        <v>-105.60181818181817</v>
      </c>
      <c r="I94" s="29">
        <f t="shared" si="45"/>
        <v>-115.68199173553718</v>
      </c>
    </row>
    <row r="95" spans="1:12" x14ac:dyDescent="0.45">
      <c r="A95" s="43"/>
      <c r="B95" s="43"/>
      <c r="D95" s="49"/>
      <c r="E95" s="50"/>
      <c r="F95" s="51"/>
      <c r="G95" s="11"/>
      <c r="H95" s="11"/>
      <c r="I95" s="11"/>
    </row>
    <row r="96" spans="1:12" x14ac:dyDescent="0.45">
      <c r="A96" s="43"/>
      <c r="B96" s="43"/>
      <c r="C96" s="3" t="s">
        <v>64</v>
      </c>
      <c r="D96" s="49"/>
      <c r="E96" s="50"/>
      <c r="F96" s="51"/>
      <c r="G96" s="11">
        <f>-F52+G52</f>
        <v>0</v>
      </c>
      <c r="H96" s="11">
        <f t="shared" ref="H96:I96" si="46">-G52+H52</f>
        <v>0</v>
      </c>
      <c r="I96" s="11">
        <f t="shared" si="46"/>
        <v>0</v>
      </c>
    </row>
    <row r="97" spans="1:12" x14ac:dyDescent="0.45">
      <c r="A97" s="43"/>
      <c r="B97" s="43"/>
      <c r="C97" s="3" t="s">
        <v>36</v>
      </c>
      <c r="D97" s="49"/>
      <c r="E97" s="50"/>
      <c r="F97" s="51"/>
      <c r="G97" s="11">
        <v>0</v>
      </c>
      <c r="H97" s="11">
        <v>0</v>
      </c>
      <c r="I97" s="11">
        <v>0</v>
      </c>
      <c r="J97" s="2"/>
    </row>
    <row r="98" spans="1:12" x14ac:dyDescent="0.45">
      <c r="A98" s="43"/>
      <c r="B98" s="43"/>
      <c r="C98" s="3" t="s">
        <v>38</v>
      </c>
      <c r="D98" s="49"/>
      <c r="E98" s="50"/>
      <c r="F98" s="51"/>
      <c r="G98" s="11">
        <f>G53-F53</f>
        <v>0</v>
      </c>
      <c r="H98" s="11">
        <f t="shared" ref="H98:I98" si="47">H53-G53</f>
        <v>0</v>
      </c>
      <c r="I98" s="11">
        <f t="shared" si="47"/>
        <v>0</v>
      </c>
    </row>
    <row r="99" spans="1:12" x14ac:dyDescent="0.45">
      <c r="A99" s="43"/>
      <c r="B99" s="43"/>
      <c r="C99" s="3" t="s">
        <v>66</v>
      </c>
      <c r="D99" s="49"/>
      <c r="E99" s="50"/>
      <c r="F99" s="51"/>
      <c r="G99" s="11">
        <f>G68</f>
        <v>5</v>
      </c>
      <c r="H99" s="11">
        <f t="shared" ref="H99:I99" si="48">H68</f>
        <v>5</v>
      </c>
      <c r="I99" s="11">
        <f t="shared" si="48"/>
        <v>5</v>
      </c>
      <c r="L99" t="s">
        <v>70</v>
      </c>
    </row>
    <row r="100" spans="1:12" x14ac:dyDescent="0.45">
      <c r="A100" s="43"/>
      <c r="B100" s="43"/>
      <c r="C100" s="3" t="s">
        <v>65</v>
      </c>
      <c r="D100" s="49"/>
      <c r="E100" s="50"/>
      <c r="F100" s="51"/>
      <c r="G100" s="15">
        <f>G72</f>
        <v>-20</v>
      </c>
      <c r="H100" s="15">
        <f t="shared" ref="H100:I100" si="49">H72</f>
        <v>-20</v>
      </c>
      <c r="I100" s="15">
        <f t="shared" si="49"/>
        <v>-20</v>
      </c>
    </row>
    <row r="101" spans="1:12" x14ac:dyDescent="0.45">
      <c r="A101" s="43"/>
      <c r="B101" s="43"/>
      <c r="C101" s="3" t="s">
        <v>42</v>
      </c>
      <c r="D101" s="49"/>
      <c r="E101" s="50"/>
      <c r="F101" s="51"/>
      <c r="G101" s="15">
        <f>G58-F58</f>
        <v>0</v>
      </c>
      <c r="H101" s="15">
        <f t="shared" ref="H101:I101" si="50">H58-G58</f>
        <v>0</v>
      </c>
      <c r="I101" s="15">
        <f t="shared" si="50"/>
        <v>0</v>
      </c>
    </row>
    <row r="102" spans="1:12" x14ac:dyDescent="0.45">
      <c r="A102" s="43"/>
      <c r="B102" s="43"/>
      <c r="C102" s="3" t="s">
        <v>67</v>
      </c>
      <c r="D102" s="49"/>
      <c r="E102" s="50"/>
      <c r="F102" s="51"/>
      <c r="G102" s="15">
        <f>G77</f>
        <v>-150</v>
      </c>
      <c r="H102" s="15">
        <f t="shared" ref="H102:I102" si="51">H77</f>
        <v>-150</v>
      </c>
      <c r="I102" s="15">
        <f t="shared" si="51"/>
        <v>-150</v>
      </c>
    </row>
    <row r="103" spans="1:12" s="8" customFormat="1" x14ac:dyDescent="0.45">
      <c r="A103" s="43"/>
      <c r="B103" s="43"/>
      <c r="C103" s="9" t="s">
        <v>68</v>
      </c>
      <c r="D103" s="49"/>
      <c r="E103" s="50"/>
      <c r="F103" s="51"/>
      <c r="G103" s="19">
        <f>SUM(G96:G102)</f>
        <v>-165</v>
      </c>
      <c r="H103" s="19">
        <f t="shared" ref="H103:I103" si="52">SUM(H96:H102)</f>
        <v>-165</v>
      </c>
      <c r="I103" s="19">
        <f t="shared" si="52"/>
        <v>-165</v>
      </c>
    </row>
    <row r="104" spans="1:12" x14ac:dyDescent="0.45">
      <c r="A104" s="43"/>
      <c r="B104" s="43"/>
      <c r="D104" s="49"/>
      <c r="E104" s="50"/>
      <c r="F104" s="51"/>
      <c r="G104" s="11"/>
      <c r="H104" s="11"/>
      <c r="I104" s="11"/>
    </row>
    <row r="105" spans="1:12" s="7" customFormat="1" x14ac:dyDescent="0.45">
      <c r="A105" s="43"/>
      <c r="B105" s="43"/>
      <c r="C105" s="4" t="s">
        <v>69</v>
      </c>
      <c r="D105" s="52"/>
      <c r="E105" s="53"/>
      <c r="F105" s="54"/>
      <c r="G105" s="19">
        <f>G90+G94+G103</f>
        <v>-17.432025173126306</v>
      </c>
      <c r="H105" s="19">
        <f t="shared" ref="H105:I105" si="53">H90+H94+H103</f>
        <v>-1.1214430058557525</v>
      </c>
      <c r="I105" s="19">
        <f t="shared" si="53"/>
        <v>3.0416024955439411</v>
      </c>
    </row>
    <row r="106" spans="1:12" ht="14.65" thickBot="1" x14ac:dyDescent="0.5">
      <c r="A106" s="44"/>
      <c r="B106" s="44"/>
    </row>
    <row r="107" spans="1:12" ht="14.65" thickTop="1" x14ac:dyDescent="0.45"/>
  </sheetData>
  <mergeCells count="5">
    <mergeCell ref="D82:F105"/>
    <mergeCell ref="A4:B106"/>
    <mergeCell ref="A1:B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Nabh Jain</dc:creator>
  <cp:lastModifiedBy>Nabh Jain</cp:lastModifiedBy>
  <dcterms:created xsi:type="dcterms:W3CDTF">2026-03-24T17:46:24Z</dcterms:created>
  <dcterms:modified xsi:type="dcterms:W3CDTF">2026-03-29T08:29:58Z</dcterms:modified>
</cp:coreProperties>
</file>